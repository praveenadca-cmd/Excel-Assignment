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55" windowWidth="18855" windowHeight="6600" activeTab="1"/>
  </bookViews>
  <sheets>
    <sheet name="Instructions" sheetId="1" r:id="rId1"/>
    <sheet name="Dataset" sheetId="2" r:id="rId2"/>
    <sheet name="Workings" sheetId="3" r:id="rId3"/>
  </sheets>
  <calcPr calcId="124519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2"/>
  <c r="M22" i="1"/>
  <c r="M21"/>
  <c r="I3" i="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  <c r="M20" i="1"/>
  <c r="C14"/>
  <c r="J17"/>
  <c r="J16"/>
  <c r="G3" i="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2"/>
  <c r="H10" i="1"/>
  <c r="H9"/>
  <c r="H6"/>
  <c r="H5"/>
  <c r="B36" i="2"/>
  <c r="H4" i="1"/>
  <c r="D36" i="2"/>
  <c r="A24" i="3"/>
</calcChain>
</file>

<file path=xl/comments1.xml><?xml version="1.0" encoding="utf-8"?>
<comments xmlns="http://schemas.openxmlformats.org/spreadsheetml/2006/main">
  <authors>
    <author>praveena</author>
  </authors>
  <commentList>
    <comment ref="J4" authorId="0">
      <text>
        <r>
          <rPr>
            <b/>
            <sz val="9"/>
            <color indexed="81"/>
            <rFont val="Tahoma"/>
            <family val="2"/>
          </rPr>
          <t>praveena:</t>
        </r>
        <r>
          <rPr>
            <sz val="9"/>
            <color indexed="81"/>
            <rFont val="Tahoma"/>
            <family val="2"/>
          </rPr>
          <t xml:space="preserve">
To view formula
</t>
        </r>
      </text>
    </comment>
  </commentList>
</comments>
</file>

<file path=xl/sharedStrings.xml><?xml version="1.0" encoding="utf-8"?>
<sst xmlns="http://schemas.openxmlformats.org/spreadsheetml/2006/main" count="187" uniqueCount="116">
  <si>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</si>
  <si>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</si>
  <si>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</si>
  <si>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</si>
  <si>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</si>
  <si>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</si>
  <si>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</si>
  <si>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</si>
  <si>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</si>
  <si>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</si>
  <si>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</si>
  <si>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</si>
  <si>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</si>
  <si>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</si>
  <si>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</si>
  <si>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</si>
  <si>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</si>
  <si>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</si>
  <si>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</si>
  <si>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</si>
  <si>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</si>
  <si>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</si>
  <si>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</si>
  <si>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</si>
  <si>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</si>
  <si>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</si>
  <si>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</si>
  <si>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</si>
  <si>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</si>
  <si>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</si>
  <si>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</si>
  <si>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</si>
  <si>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</si>
  <si>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</si>
  <si>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</si>
  <si>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</si>
  <si>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</si>
  <si>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</si>
  <si>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</si>
  <si>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</si>
  <si>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</si>
  <si>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</si>
  <si>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</si>
  <si>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</si>
  <si>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</si>
  <si>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</si>
  <si>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</si>
  <si>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</si>
  <si>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</si>
  <si>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</si>
  <si>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</si>
  <si>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</si>
  <si>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</si>
  <si>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</si>
  <si>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</si>
  <si>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</si>
  <si>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</si>
  <si>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</si>
  <si>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</si>
  <si>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</si>
  <si>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</si>
  <si>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</si>
  <si>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</si>
  <si>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</si>
  <si>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</si>
  <si>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</si>
  <si>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</si>
  <si>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</si>
  <si>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</si>
  <si>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</si>
  <si>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</si>
  <si>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</si>
  <si>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</si>
  <si>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</si>
  <si>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</si>
  <si>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</si>
  <si>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</si>
  <si>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</si>
  <si>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</si>
  <si>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</si>
  <si>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</si>
  <si>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</si>
  <si>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</si>
  <si>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</si>
  <si>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</si>
  <si>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</si>
  <si>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</si>
  <si>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</si>
  <si>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</si>
  <si>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</si>
  <si>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</si>
  <si>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</si>
  <si>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</si>
  <si>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</si>
  <si>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</si>
  <si>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</si>
  <si>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</si>
  <si>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</si>
  <si>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</si>
  <si>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</si>
  <si>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</si>
  <si>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</si>
  <si>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</si>
  <si>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</si>
  <si>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</si>
  <si>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</si>
  <si>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</si>
  <si>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</si>
  <si>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</si>
  <si>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</si>
  <si>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Duplicate</t>
  </si>
  <si>
    <t>Price Range</t>
  </si>
  <si>
    <t>Day</t>
  </si>
  <si>
    <t>ctrl+{</t>
  </si>
  <si>
    <t>Country code</t>
  </si>
  <si>
    <t>Month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</si>
</sst>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8" fillId="0" borderId="0" xfId="0" applyFont="1" applyAlignment="1"/>
    <xf numFmtId="0" fontId="9" fillId="0" borderId="0" xfId="0" applyFont="1" applyAlignment="1"/>
    <xf numFmtId="0" fontId="8" fillId="5" borderId="0" xfId="0" applyFont="1" applyFill="1" applyAlignment="1"/>
    <xf numFmtId="2" fontId="9" fillId="0" borderId="0" xfId="0" applyNumberFormat="1" applyFont="1" applyAlignment="1"/>
    <xf numFmtId="0" fontId="6" fillId="6" borderId="0" xfId="0" applyFont="1" applyFill="1"/>
    <xf numFmtId="0" fontId="0" fillId="6" borderId="0" xfId="0" applyFont="1" applyFill="1" applyAlignment="1">
      <alignment horizontal="center"/>
    </xf>
    <xf numFmtId="0" fontId="8" fillId="6" borderId="0" xfId="0" applyFont="1" applyFill="1" applyAlignment="1"/>
    <xf numFmtId="0" fontId="5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4" borderId="0" xfId="0" applyFont="1" applyFill="1" applyAlignment="1"/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1000"/>
  <sheetViews>
    <sheetView showGridLines="0" topLeftCell="A3" workbookViewId="0">
      <selection activeCell="H4" sqref="H4"/>
    </sheetView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10" ht="15.75" customHeight="1">
      <c r="A1" s="1" t="s">
        <v>0</v>
      </c>
    </row>
    <row r="2" spans="1:10" ht="15.75" customHeight="1"/>
    <row r="3" spans="1:10" ht="15.75" customHeight="1">
      <c r="B3" s="2" t="s">
        <v>1</v>
      </c>
    </row>
    <row r="4" spans="1:10" ht="15.75" customHeight="1">
      <c r="B4" s="2"/>
      <c r="C4" s="3" t="s">
        <v>2</v>
      </c>
      <c r="H4" s="10">
        <f>Dataset!D36</f>
        <v>10100</v>
      </c>
      <c r="J4" s="18" t="s">
        <v>113</v>
      </c>
    </row>
    <row r="5" spans="1:10" ht="15.75" customHeight="1">
      <c r="B5" s="2"/>
      <c r="C5" s="3" t="s">
        <v>3</v>
      </c>
      <c r="H5" s="10">
        <f>Dataset!B36</f>
        <v>34</v>
      </c>
    </row>
    <row r="6" spans="1:10" ht="15.75" customHeight="1">
      <c r="B6" s="2"/>
      <c r="C6" s="3" t="s">
        <v>4</v>
      </c>
      <c r="H6" s="12">
        <f>Dataset!D36/Dataset!B36</f>
        <v>297.05882352941177</v>
      </c>
    </row>
    <row r="7" spans="1:10" ht="15.75" customHeight="1">
      <c r="B7" s="4"/>
    </row>
    <row r="8" spans="1:10" ht="15.75" customHeight="1">
      <c r="B8" s="2" t="s">
        <v>5</v>
      </c>
    </row>
    <row r="9" spans="1:10" ht="15.75" customHeight="1">
      <c r="C9" s="3" t="s">
        <v>6</v>
      </c>
      <c r="H9" s="10">
        <f>MIN(Dataset!D2:D35)</f>
        <v>30</v>
      </c>
    </row>
    <row r="10" spans="1:10" ht="15.75" customHeight="1">
      <c r="C10" s="3" t="s">
        <v>7</v>
      </c>
      <c r="H10" s="10">
        <f>MAX(Dataset!D2:D35)</f>
        <v>1000</v>
      </c>
    </row>
    <row r="11" spans="1:10" ht="15.75" customHeight="1">
      <c r="B11" s="4"/>
    </row>
    <row r="12" spans="1:10" ht="15.75" customHeight="1">
      <c r="B12" s="2" t="s">
        <v>8</v>
      </c>
    </row>
    <row r="13" spans="1:10" ht="15.75" customHeight="1">
      <c r="C13" s="3" t="s">
        <v>9</v>
      </c>
    </row>
    <row r="14" spans="1:10" ht="15.75" customHeight="1">
      <c r="B14" s="4"/>
      <c r="C14" s="10" t="str">
        <f>Dataset!G1</f>
        <v>Price Range</v>
      </c>
    </row>
    <row r="15" spans="1:10" ht="15.75" customHeight="1">
      <c r="B15" s="2" t="s">
        <v>10</v>
      </c>
    </row>
    <row r="16" spans="1:10" ht="15.75" customHeight="1">
      <c r="C16" s="3" t="s">
        <v>11</v>
      </c>
      <c r="J16" s="10">
        <f>SUMIF(Dataset!F2:F35,"Electronics",Dataset!D2:D35)</f>
        <v>8050</v>
      </c>
    </row>
    <row r="17" spans="2:13" ht="15.75" customHeight="1">
      <c r="C17" s="3" t="s">
        <v>12</v>
      </c>
      <c r="J17" s="10">
        <f>COUNTIF(Dataset!D2:D35,"&lt;100")</f>
        <v>11</v>
      </c>
    </row>
    <row r="18" spans="2:13" ht="15.75" customHeight="1">
      <c r="B18" s="4"/>
    </row>
    <row r="19" spans="2:13" ht="15.75" customHeight="1">
      <c r="B19" s="2" t="s">
        <v>13</v>
      </c>
    </row>
    <row r="20" spans="2:13" ht="15.75" customHeight="1">
      <c r="C20" s="3" t="s">
        <v>14</v>
      </c>
      <c r="M20" s="10" t="str">
        <f>Dataset!H1</f>
        <v>Day</v>
      </c>
    </row>
    <row r="21" spans="2:13" ht="15.75" customHeight="1">
      <c r="C21" s="3" t="s">
        <v>15</v>
      </c>
      <c r="M21" s="10" t="str">
        <f>Dataset!I1</f>
        <v>Country code</v>
      </c>
    </row>
    <row r="22" spans="2:13" ht="15.75" customHeight="1">
      <c r="C22" s="3" t="s">
        <v>16</v>
      </c>
      <c r="M22" s="10" t="str">
        <f>Dataset!J1</f>
        <v>Month</v>
      </c>
    </row>
    <row r="23" spans="2:13" ht="15.75" customHeight="1">
      <c r="B23" s="4"/>
    </row>
    <row r="24" spans="2:13" ht="15.75" customHeight="1"/>
    <row r="25" spans="2:13" ht="15.75" customHeight="1"/>
    <row r="26" spans="2:13" ht="15.75" customHeight="1"/>
    <row r="27" spans="2:13" ht="15.75" customHeight="1"/>
    <row r="28" spans="2:13" ht="15.75" customHeight="1"/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0"/>
  <sheetViews>
    <sheetView tabSelected="1" topLeftCell="A16" workbookViewId="0">
      <selection activeCell="E36" sqref="E36"/>
    </sheetView>
  </sheetViews>
  <sheetFormatPr defaultColWidth="12.5703125" defaultRowHeight="15" customHeight="1"/>
  <cols>
    <col min="1" max="1" width="12.5703125" customWidth="1"/>
    <col min="2" max="2" width="14.140625" customWidth="1"/>
    <col min="3" max="6" width="12.5703125" customWidth="1"/>
    <col min="10" max="10" width="12.5703125" style="20"/>
  </cols>
  <sheetData>
    <row r="1" spans="1:10" s="9" customFormat="1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111</v>
      </c>
      <c r="H1" s="17" t="s">
        <v>112</v>
      </c>
      <c r="I1" s="17" t="s">
        <v>114</v>
      </c>
      <c r="J1" s="17" t="s">
        <v>115</v>
      </c>
    </row>
    <row r="2" spans="1:10" ht="15.75" customHeight="1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3" t="str">
        <f>IF(D2&gt;500, "High Price", "Standard Price")</f>
        <v>High Price</v>
      </c>
      <c r="H2" s="14" t="str">
        <f>LEFT(A2:A35,2)</f>
        <v>28</v>
      </c>
      <c r="I2" s="14" t="str">
        <f>RIGHT(A2:A35,2)</f>
        <v>US</v>
      </c>
      <c r="J2" s="14" t="str">
        <f>MID(A2:A35,4,3)</f>
        <v>JAN</v>
      </c>
    </row>
    <row r="3" spans="1:10" ht="15.75" customHeight="1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3" t="str">
        <f t="shared" ref="G3:G35" si="0">IF(D3&gt;500, "High Price", "Standard Price")</f>
        <v>Standard Price</v>
      </c>
      <c r="H3" s="14" t="str">
        <f t="shared" ref="H3:H35" si="1">LEFT(A3:A36,2)</f>
        <v>15</v>
      </c>
      <c r="I3" s="14" t="str">
        <f t="shared" ref="I3:I35" si="2">RIGHT(A3:A36,2)</f>
        <v>US</v>
      </c>
      <c r="J3" s="14" t="str">
        <f t="shared" ref="J3:J35" si="3">MID(A3:A36,4,3)</f>
        <v>FEB</v>
      </c>
    </row>
    <row r="4" spans="1:10" ht="15.75" customHeight="1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13" t="str">
        <f t="shared" si="0"/>
        <v>Standard Price</v>
      </c>
      <c r="H4" s="14" t="str">
        <f t="shared" si="1"/>
        <v>03</v>
      </c>
      <c r="I4" s="14" t="str">
        <f t="shared" si="2"/>
        <v>US</v>
      </c>
      <c r="J4" s="14" t="str">
        <f t="shared" si="3"/>
        <v>MAR</v>
      </c>
    </row>
    <row r="5" spans="1:10" ht="15.75" customHeight="1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3" t="str">
        <f t="shared" si="0"/>
        <v>High Price</v>
      </c>
      <c r="H5" s="14" t="str">
        <f t="shared" si="1"/>
        <v>11</v>
      </c>
      <c r="I5" s="14" t="str">
        <f t="shared" si="2"/>
        <v>US</v>
      </c>
      <c r="J5" s="14" t="str">
        <f t="shared" si="3"/>
        <v>APR</v>
      </c>
    </row>
    <row r="6" spans="1:10" ht="15.75" customHeight="1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3" t="str">
        <f t="shared" si="0"/>
        <v>Standard Price</v>
      </c>
      <c r="H6" s="14" t="str">
        <f t="shared" si="1"/>
        <v>22</v>
      </c>
      <c r="I6" s="14" t="str">
        <f t="shared" si="2"/>
        <v>US</v>
      </c>
      <c r="J6" s="14" t="str">
        <f t="shared" si="3"/>
        <v>MAY</v>
      </c>
    </row>
    <row r="7" spans="1:10" ht="15.75" customHeight="1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3" t="str">
        <f t="shared" si="0"/>
        <v>Standard Price</v>
      </c>
      <c r="H7" s="14" t="str">
        <f t="shared" si="1"/>
        <v>07</v>
      </c>
      <c r="I7" s="14" t="str">
        <f t="shared" si="2"/>
        <v>UK</v>
      </c>
      <c r="J7" s="14" t="str">
        <f t="shared" si="3"/>
        <v>JUN</v>
      </c>
    </row>
    <row r="8" spans="1:10" ht="15.75" customHeight="1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3" t="str">
        <f t="shared" si="0"/>
        <v>Standard Price</v>
      </c>
      <c r="H8" s="14" t="str">
        <f t="shared" si="1"/>
        <v>19</v>
      </c>
      <c r="I8" s="14" t="str">
        <f t="shared" si="2"/>
        <v>UK</v>
      </c>
      <c r="J8" s="14" t="str">
        <f t="shared" si="3"/>
        <v>JUL</v>
      </c>
    </row>
    <row r="9" spans="1:10" ht="15.75" customHeight="1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3" t="str">
        <f t="shared" si="0"/>
        <v>Standard Price</v>
      </c>
      <c r="H9" s="14" t="str">
        <f t="shared" si="1"/>
        <v>23</v>
      </c>
      <c r="I9" s="14" t="str">
        <f t="shared" si="2"/>
        <v>UK</v>
      </c>
      <c r="J9" s="14" t="str">
        <f t="shared" si="3"/>
        <v>AUG</v>
      </c>
    </row>
    <row r="10" spans="1:10" ht="15.75" customHeight="1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13" t="str">
        <f t="shared" si="0"/>
        <v>Standard Price</v>
      </c>
      <c r="H10" s="14" t="str">
        <f t="shared" si="1"/>
        <v>05</v>
      </c>
      <c r="I10" s="14" t="str">
        <f t="shared" si="2"/>
        <v>UK</v>
      </c>
      <c r="J10" s="14" t="str">
        <f t="shared" si="3"/>
        <v>SEP</v>
      </c>
    </row>
    <row r="11" spans="1:10" ht="15.75" customHeight="1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3" t="str">
        <f t="shared" si="0"/>
        <v>Standard Price</v>
      </c>
      <c r="H11" s="14" t="str">
        <f t="shared" si="1"/>
        <v>14</v>
      </c>
      <c r="I11" s="14" t="str">
        <f t="shared" si="2"/>
        <v>UK</v>
      </c>
      <c r="J11" s="14" t="str">
        <f t="shared" si="3"/>
        <v>OCT</v>
      </c>
    </row>
    <row r="12" spans="1:10" ht="15.75" customHeight="1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13" t="str">
        <f t="shared" si="0"/>
        <v>High Price</v>
      </c>
      <c r="H12" s="14" t="str">
        <f t="shared" si="1"/>
        <v>17</v>
      </c>
      <c r="I12" s="14" t="str">
        <f t="shared" si="2"/>
        <v>IN</v>
      </c>
      <c r="J12" s="14" t="str">
        <f t="shared" si="3"/>
        <v>JUN</v>
      </c>
    </row>
    <row r="13" spans="1:10" ht="15.75" customHeight="1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3" t="str">
        <f t="shared" si="0"/>
        <v>Standard Price</v>
      </c>
      <c r="H13" s="14" t="str">
        <f t="shared" si="1"/>
        <v>25</v>
      </c>
      <c r="I13" s="14" t="str">
        <f t="shared" si="2"/>
        <v>AU</v>
      </c>
      <c r="J13" s="14" t="str">
        <f t="shared" si="3"/>
        <v>NOV</v>
      </c>
    </row>
    <row r="14" spans="1:10" ht="15.75" customHeight="1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13" t="str">
        <f t="shared" si="0"/>
        <v>Standard Price</v>
      </c>
      <c r="H14" s="14" t="str">
        <f t="shared" si="1"/>
        <v>08</v>
      </c>
      <c r="I14" s="14" t="str">
        <f t="shared" si="2"/>
        <v>DE</v>
      </c>
      <c r="J14" s="14" t="str">
        <f t="shared" si="3"/>
        <v>DEC</v>
      </c>
    </row>
    <row r="15" spans="1:10" ht="15.75" customHeight="1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3" t="str">
        <f t="shared" si="0"/>
        <v>Standard Price</v>
      </c>
      <c r="H15" s="14" t="str">
        <f t="shared" si="1"/>
        <v>18</v>
      </c>
      <c r="I15" s="14" t="str">
        <f t="shared" si="2"/>
        <v>CA</v>
      </c>
      <c r="J15" s="14" t="str">
        <f t="shared" si="3"/>
        <v>FEB</v>
      </c>
    </row>
    <row r="16" spans="1:10" ht="15.75" customHeight="1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13" t="str">
        <f t="shared" si="0"/>
        <v>Standard Price</v>
      </c>
      <c r="H16" s="14" t="str">
        <f t="shared" si="1"/>
        <v>16</v>
      </c>
      <c r="I16" s="14" t="str">
        <f t="shared" si="2"/>
        <v>ES</v>
      </c>
      <c r="J16" s="14" t="str">
        <f t="shared" si="3"/>
        <v>APR</v>
      </c>
    </row>
    <row r="17" spans="1:10" ht="15.75" customHeight="1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3" t="str">
        <f t="shared" si="0"/>
        <v>Standard Price</v>
      </c>
      <c r="H17" s="14" t="str">
        <f t="shared" si="1"/>
        <v>21</v>
      </c>
      <c r="I17" s="14" t="str">
        <f t="shared" si="2"/>
        <v>CA</v>
      </c>
      <c r="J17" s="14" t="str">
        <f t="shared" si="3"/>
        <v>AUG</v>
      </c>
    </row>
    <row r="18" spans="1:10" ht="15.75" customHeight="1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13" t="str">
        <f t="shared" si="0"/>
        <v>Standard Price</v>
      </c>
      <c r="H18" s="14" t="str">
        <f t="shared" si="1"/>
        <v>20</v>
      </c>
      <c r="I18" s="14" t="str">
        <f t="shared" si="2"/>
        <v>CN</v>
      </c>
      <c r="J18" s="14" t="str">
        <f t="shared" si="3"/>
        <v>AUG</v>
      </c>
    </row>
    <row r="19" spans="1:10" ht="15.75" customHeight="1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3" t="str">
        <f t="shared" si="0"/>
        <v>High Price</v>
      </c>
      <c r="H19" s="14" t="str">
        <f t="shared" si="1"/>
        <v>27</v>
      </c>
      <c r="I19" s="14" t="str">
        <f t="shared" si="2"/>
        <v>IT</v>
      </c>
      <c r="J19" s="14" t="str">
        <f t="shared" si="3"/>
        <v>JAN</v>
      </c>
    </row>
    <row r="20" spans="1:10" ht="15.75" customHeight="1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13" t="str">
        <f t="shared" si="0"/>
        <v>Standard Price</v>
      </c>
      <c r="H20" s="14" t="str">
        <f t="shared" si="1"/>
        <v>01</v>
      </c>
      <c r="I20" s="14" t="str">
        <f t="shared" si="2"/>
        <v>UK</v>
      </c>
      <c r="J20" s="14" t="str">
        <f t="shared" si="3"/>
        <v>MAR</v>
      </c>
    </row>
    <row r="21" spans="1:10" ht="15.75" customHeight="1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3" t="str">
        <f t="shared" si="0"/>
        <v>Standard Price</v>
      </c>
      <c r="H21" s="14" t="str">
        <f t="shared" si="1"/>
        <v>14</v>
      </c>
      <c r="I21" s="14" t="str">
        <f t="shared" si="2"/>
        <v>US</v>
      </c>
      <c r="J21" s="14" t="str">
        <f t="shared" si="3"/>
        <v>AUG</v>
      </c>
    </row>
    <row r="22" spans="1:10" ht="15.75" customHeight="1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13" t="str">
        <f t="shared" si="0"/>
        <v>High Price</v>
      </c>
      <c r="H22" s="14" t="str">
        <f t="shared" si="1"/>
        <v>14</v>
      </c>
      <c r="I22" s="14" t="str">
        <f t="shared" si="2"/>
        <v>RU</v>
      </c>
      <c r="J22" s="14" t="str">
        <f t="shared" si="3"/>
        <v>MAY</v>
      </c>
    </row>
    <row r="23" spans="1:10" ht="15.75" customHeight="1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3" t="str">
        <f t="shared" si="0"/>
        <v>Standard Price</v>
      </c>
      <c r="H23" s="14" t="str">
        <f t="shared" si="1"/>
        <v>09</v>
      </c>
      <c r="I23" s="14" t="str">
        <f t="shared" si="2"/>
        <v>CA</v>
      </c>
      <c r="J23" s="14" t="str">
        <f t="shared" si="3"/>
        <v>JAN</v>
      </c>
    </row>
    <row r="24" spans="1:10" ht="15.75" customHeight="1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13" t="str">
        <f t="shared" si="0"/>
        <v>Standard Price</v>
      </c>
      <c r="H24" s="14" t="str">
        <f t="shared" si="1"/>
        <v>19</v>
      </c>
      <c r="I24" s="14" t="str">
        <f t="shared" si="2"/>
        <v>BR</v>
      </c>
      <c r="J24" s="14" t="str">
        <f t="shared" si="3"/>
        <v>JUL</v>
      </c>
    </row>
    <row r="25" spans="1:10" ht="15.75" customHeight="1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3" t="str">
        <f t="shared" si="0"/>
        <v>Standard Price</v>
      </c>
      <c r="H25" s="14" t="str">
        <f t="shared" si="1"/>
        <v>21</v>
      </c>
      <c r="I25" s="14" t="str">
        <f t="shared" si="2"/>
        <v>CA</v>
      </c>
      <c r="J25" s="14" t="str">
        <f t="shared" si="3"/>
        <v>AUG</v>
      </c>
    </row>
    <row r="26" spans="1:10" ht="15.75" customHeight="1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13" t="str">
        <f t="shared" si="0"/>
        <v>High Price</v>
      </c>
      <c r="H26" s="14" t="str">
        <f t="shared" si="1"/>
        <v>29</v>
      </c>
      <c r="I26" s="14" t="str">
        <f t="shared" si="2"/>
        <v>CA</v>
      </c>
      <c r="J26" s="14" t="str">
        <f t="shared" si="3"/>
        <v>SEP</v>
      </c>
    </row>
    <row r="27" spans="1:10" ht="15.75" customHeight="1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3" t="str">
        <f t="shared" si="0"/>
        <v>Standard Price</v>
      </c>
      <c r="H27" s="14" t="str">
        <f t="shared" si="1"/>
        <v>03</v>
      </c>
      <c r="I27" s="14" t="str">
        <f t="shared" si="2"/>
        <v>CA</v>
      </c>
      <c r="J27" s="14" t="str">
        <f t="shared" si="3"/>
        <v>JUN</v>
      </c>
    </row>
    <row r="28" spans="1:10" ht="15.75" customHeight="1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13" t="str">
        <f t="shared" si="0"/>
        <v>Standard Price</v>
      </c>
      <c r="H28" s="14" t="str">
        <f t="shared" si="1"/>
        <v>11</v>
      </c>
      <c r="I28" s="14" t="str">
        <f t="shared" si="2"/>
        <v>CA</v>
      </c>
      <c r="J28" s="14" t="str">
        <f t="shared" si="3"/>
        <v>JUL</v>
      </c>
    </row>
    <row r="29" spans="1:10" ht="15.75" customHeight="1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3" t="str">
        <f t="shared" si="0"/>
        <v>Standard Price</v>
      </c>
      <c r="H29" s="14" t="str">
        <f t="shared" si="1"/>
        <v>16</v>
      </c>
      <c r="I29" s="14" t="str">
        <f t="shared" si="2"/>
        <v>ES</v>
      </c>
      <c r="J29" s="14" t="str">
        <f t="shared" si="3"/>
        <v>APR</v>
      </c>
    </row>
    <row r="30" spans="1:10" ht="15.75" customHeight="1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13" t="str">
        <f t="shared" si="0"/>
        <v>Standard Price</v>
      </c>
      <c r="H30" s="14" t="str">
        <f t="shared" si="1"/>
        <v>07</v>
      </c>
      <c r="I30" s="14" t="str">
        <f t="shared" si="2"/>
        <v>CA</v>
      </c>
      <c r="J30" s="14" t="str">
        <f t="shared" si="3"/>
        <v>MAR</v>
      </c>
    </row>
    <row r="31" spans="1:10" ht="15.75" customHeight="1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3" t="str">
        <f t="shared" si="0"/>
        <v>Standard Price</v>
      </c>
      <c r="H31" s="14" t="str">
        <f t="shared" si="1"/>
        <v>13</v>
      </c>
      <c r="I31" s="14" t="str">
        <f t="shared" si="2"/>
        <v>CA</v>
      </c>
      <c r="J31" s="14" t="str">
        <f t="shared" si="3"/>
        <v>APR</v>
      </c>
    </row>
    <row r="32" spans="1:10" ht="15.75" customHeight="1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13" t="str">
        <f t="shared" si="0"/>
        <v>Standard Price</v>
      </c>
      <c r="H32" s="14" t="str">
        <f t="shared" si="1"/>
        <v>24</v>
      </c>
      <c r="I32" s="14" t="str">
        <f t="shared" si="2"/>
        <v>CA</v>
      </c>
      <c r="J32" s="14" t="str">
        <f t="shared" si="3"/>
        <v>MAY</v>
      </c>
    </row>
    <row r="33" spans="1:10" ht="15.75" customHeight="1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3" t="str">
        <f t="shared" si="0"/>
        <v>Standard Price</v>
      </c>
      <c r="H33" s="14" t="str">
        <f t="shared" si="1"/>
        <v>02</v>
      </c>
      <c r="I33" s="14" t="str">
        <f t="shared" si="2"/>
        <v>CA</v>
      </c>
      <c r="J33" s="14" t="str">
        <f t="shared" si="3"/>
        <v>DEC</v>
      </c>
    </row>
    <row r="34" spans="1:10" ht="15.75" customHeight="1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13" t="str">
        <f t="shared" si="0"/>
        <v>High Price</v>
      </c>
      <c r="H34" s="14" t="str">
        <f t="shared" si="1"/>
        <v>17</v>
      </c>
      <c r="I34" s="14" t="str">
        <f t="shared" si="2"/>
        <v>IN</v>
      </c>
      <c r="J34" s="14" t="str">
        <f t="shared" si="3"/>
        <v>JUN</v>
      </c>
    </row>
    <row r="35" spans="1:10" ht="15.75" customHeight="1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3" t="str">
        <f t="shared" si="0"/>
        <v>Standard Price</v>
      </c>
      <c r="H35" s="14" t="str">
        <f t="shared" si="1"/>
        <v>09</v>
      </c>
      <c r="I35" s="14" t="str">
        <f t="shared" si="2"/>
        <v>FR</v>
      </c>
      <c r="J35" s="14" t="str">
        <f t="shared" si="3"/>
        <v>JUL</v>
      </c>
    </row>
    <row r="36" spans="1:10" s="9" customFormat="1" ht="15.75" customHeight="1">
      <c r="B36" s="15">
        <f>COUNTA(B2:B35)</f>
        <v>34</v>
      </c>
      <c r="D36" s="15">
        <f>SUM(D2:D35)</f>
        <v>10100</v>
      </c>
      <c r="J36" s="19"/>
    </row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"/>
  <sheetViews>
    <sheetView workbookViewId="0">
      <selection activeCell="C14" sqref="C14"/>
    </sheetView>
  </sheetViews>
  <sheetFormatPr defaultRowHeight="12.75"/>
  <sheetData>
    <row r="1" spans="1:1" s="9" customFormat="1">
      <c r="A1" s="11" t="s">
        <v>110</v>
      </c>
    </row>
    <row r="2" spans="1:1">
      <c r="A2" s="7" t="s">
        <v>24</v>
      </c>
    </row>
    <row r="3" spans="1:1">
      <c r="A3" s="8" t="s">
        <v>28</v>
      </c>
    </row>
    <row r="4" spans="1:1">
      <c r="A4" s="7" t="s">
        <v>32</v>
      </c>
    </row>
    <row r="5" spans="1:1">
      <c r="A5" s="8" t="s">
        <v>36</v>
      </c>
    </row>
    <row r="6" spans="1:1">
      <c r="A6" s="7" t="s">
        <v>39</v>
      </c>
    </row>
    <row r="7" spans="1:1">
      <c r="A7" s="8" t="s">
        <v>43</v>
      </c>
    </row>
    <row r="8" spans="1:1">
      <c r="A8" s="7" t="s">
        <v>46</v>
      </c>
    </row>
    <row r="9" spans="1:1">
      <c r="A9" s="8" t="s">
        <v>49</v>
      </c>
    </row>
    <row r="10" spans="1:1">
      <c r="A10" s="7" t="s">
        <v>52</v>
      </c>
    </row>
    <row r="11" spans="1:1">
      <c r="A11" s="8" t="s">
        <v>55</v>
      </c>
    </row>
    <row r="12" spans="1:1">
      <c r="A12" s="7" t="s">
        <v>24</v>
      </c>
    </row>
    <row r="13" spans="1:1">
      <c r="A13" s="8" t="s">
        <v>63</v>
      </c>
    </row>
    <row r="14" spans="1:1">
      <c r="A14" s="8" t="s">
        <v>68</v>
      </c>
    </row>
    <row r="15" spans="1:1">
      <c r="A15" s="7" t="s">
        <v>76</v>
      </c>
    </row>
    <row r="16" spans="1:1">
      <c r="A16" s="8" t="s">
        <v>79</v>
      </c>
    </row>
    <row r="17" spans="1:1">
      <c r="A17" s="7" t="s">
        <v>82</v>
      </c>
    </row>
    <row r="18" spans="1:1">
      <c r="A18" s="8" t="s">
        <v>85</v>
      </c>
    </row>
    <row r="19" spans="1:1">
      <c r="A19" s="7" t="s">
        <v>88</v>
      </c>
    </row>
    <row r="20" spans="1:1">
      <c r="A20" s="7" t="s">
        <v>97</v>
      </c>
    </row>
    <row r="21" spans="1:1">
      <c r="A21" s="8" t="s">
        <v>100</v>
      </c>
    </row>
    <row r="22" spans="1:1">
      <c r="A22" s="8" t="s">
        <v>105</v>
      </c>
    </row>
    <row r="23" spans="1:1">
      <c r="A23" s="8" t="s">
        <v>108</v>
      </c>
    </row>
    <row r="24" spans="1:1" s="9" customFormat="1">
      <c r="A24" s="11">
        <f>COUNTA(A2:A23)</f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Workings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praveena</cp:lastModifiedBy>
  <cp:lastPrinted>2025-11-03T03:09:15Z</cp:lastPrinted>
  <dcterms:modified xsi:type="dcterms:W3CDTF">2025-11-03T03:16:53Z</dcterms:modified>
</cp:coreProperties>
</file>