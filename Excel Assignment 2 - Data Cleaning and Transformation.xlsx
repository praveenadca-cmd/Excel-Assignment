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55" windowWidth="18855" windowHeight="6600"/>
  </bookViews>
  <sheets>
    <sheet name="Instructions" sheetId="1" r:id="rId1"/>
    <sheet name="Dataset" sheetId="2" r:id="rId2"/>
  </sheets>
  <definedNames>
    <definedName name="_xlnm._FilterDatabase" localSheetId="1" hidden="1">Dataset!$A$1:$M$32</definedName>
  </definedNames>
  <calcPr calcId="124519"/>
  <extLst>
    <ext uri="GoogleSheetsCustomDataVersion2">
      <go:sheetsCustomData xmlns:go="http://customooxmlschemas.google.com/" r:id="" roundtripDataChecksum="rIR6213FxEpgZ/k1UDjxyMHI45/G9Bc960XOAAH4UN4="/>
    </ext>
  </extLst>
</workbook>
</file>

<file path=xl/calcChain.xml><?xml version="1.0" encoding="utf-8"?>
<calcChain xmlns="http://schemas.openxmlformats.org/spreadsheetml/2006/main">
  <c r="J21" i="1"/>
  <c r="B3" i="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2"/>
  <c r="M16" i="1" s="1"/>
  <c r="L25"/>
  <c r="N10"/>
  <c r="L3" i="2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2"/>
  <c r="I8" i="1" s="1"/>
  <c r="I3" i="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J20" i="1" s="1"/>
  <c r="C2" i="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K5" i="1"/>
  <c r="G3" i="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I24" i="1" l="1"/>
  <c r="K4"/>
  <c r="G2" i="2"/>
  <c r="K17" i="1" s="1"/>
</calcChain>
</file>

<file path=xl/sharedStrings.xml><?xml version="1.0" encoding="utf-8"?>
<sst xmlns="http://schemas.openxmlformats.org/spreadsheetml/2006/main" count="194" uniqueCount="133">
  <si>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</si>
  <si>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</si>
  <si>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</si>
  <si>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</si>
  <si>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</si>
  <si>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</si>
  <si>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</si>
  <si>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</si>
  <si>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</si>
  <si>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</si>
  <si>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</si>
  <si>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</si>
  <si>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</si>
  <si>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</si>
  <si>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</si>
  <si>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</si>
  <si>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</si>
  <si>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</si>
  <si>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</si>
  <si>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</si>
  <si>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</si>
  <si>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</si>
  <si>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</si>
  <si>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</si>
  <si>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</si>
  <si>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</si>
  <si>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</si>
  <si>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</si>
  <si>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</si>
  <si>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</si>
  <si>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</si>
  <si>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</si>
  <si>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</si>
  <si>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</si>
  <si>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</si>
  <si>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</si>
  <si>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</si>
  <si>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</si>
  <si>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</si>
  <si>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</si>
  <si>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</si>
  <si>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</si>
  <si>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</si>
  <si>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</si>
  <si>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</si>
  <si>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</si>
  <si>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</si>
  <si>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</si>
  <si>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</si>
  <si>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</si>
  <si>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</si>
  <si>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</si>
  <si>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</si>
  <si>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</si>
  <si>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</si>
  <si>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</si>
  <si>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</si>
  <si>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</si>
  <si>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</si>
  <si>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</si>
  <si>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</si>
  <si>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</si>
  <si>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</si>
  <si>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</si>
  <si>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</si>
  <si>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</si>
  <si>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</si>
  <si>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</si>
  <si>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</si>
  <si>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</si>
  <si>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</si>
  <si>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</si>
  <si>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</si>
  <si>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</si>
  <si>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</si>
  <si>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</si>
  <si>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</si>
  <si>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</si>
  <si>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</si>
  <si>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</si>
  <si>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</si>
  <si>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</si>
  <si>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</si>
  <si>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</si>
  <si>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</si>
  <si>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</si>
  <si>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</si>
  <si>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</si>
  <si>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</si>
  <si>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</si>
  <si>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</si>
  <si>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</si>
  <si>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</si>
  <si>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</si>
  <si>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</si>
  <si>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</si>
  <si>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</si>
  <si>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</si>
  <si>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</si>
  <si>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</si>
  <si>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</si>
  <si>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</si>
  <si>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</si>
  <si>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</si>
  <si>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</si>
  <si>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</si>
  <si>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</si>
  <si>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</si>
  <si>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</si>
  <si>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</si>
  <si>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</si>
  <si>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</si>
  <si>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</si>
  <si>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</si>
  <si>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</si>
  <si>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</si>
  <si>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Have to impute with "Unknown" category</t>
  </si>
  <si>
    <t>By using filter option</t>
  </si>
  <si>
    <t xml:space="preserve"> </t>
  </si>
  <si>
    <t>find Electroni , match entire cell content and replace all with electronics</t>
  </si>
  <si>
    <t>Remove duplicates under data tab, based on product ID, use expand to all</t>
  </si>
  <si>
    <t>Manufacturing date</t>
  </si>
  <si>
    <t>Country code</t>
  </si>
  <si>
    <t>Product Brand</t>
  </si>
  <si>
    <t>concatenate function</t>
  </si>
  <si>
    <t>Home tab- currency format</t>
  </si>
  <si>
    <t xml:space="preserve">  left() and Right()</t>
  </si>
  <si>
    <t>Price Imputed ($)</t>
  </si>
  <si>
    <t>proper(clean())</t>
  </si>
  <si>
    <t>Category Imputed</t>
  </si>
  <si>
    <t>Unknown</t>
  </si>
  <si>
    <t xml:space="preserve">Using average </t>
  </si>
  <si>
    <t>Value() formula</t>
  </si>
</sst>
</file>

<file path=xl/styles.xml><?xml version="1.0" encoding="utf-8"?>
<styleSheet xmlns="http://schemas.openxmlformats.org/spreadsheetml/2006/main">
  <numFmts count="1">
    <numFmt numFmtId="168" formatCode="_-[$$-409]* #,##0.00_ ;_-[$$-409]* \-#,##0.00\ ;_-[$$-409]* &quot;-&quot;??_ ;_-@_ "/>
  </numFmts>
  <fonts count="12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FF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8" fillId="0" borderId="0" xfId="0" applyFont="1" applyAlignment="1"/>
    <xf numFmtId="0" fontId="0" fillId="4" borderId="0" xfId="0" applyFont="1" applyFill="1" applyAlignment="1"/>
    <xf numFmtId="0" fontId="8" fillId="4" borderId="0" xfId="0" applyFont="1" applyFill="1" applyAlignment="1"/>
    <xf numFmtId="0" fontId="8" fillId="0" borderId="0" xfId="0" applyFont="1" applyFill="1" applyAlignment="1"/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9" fillId="0" borderId="0" xfId="0" applyFont="1" applyAlignment="1"/>
    <xf numFmtId="0" fontId="11" fillId="4" borderId="0" xfId="0" applyFont="1" applyFill="1" applyAlignment="1"/>
    <xf numFmtId="0" fontId="11" fillId="0" borderId="0" xfId="0" applyFont="1" applyAlignment="1"/>
    <xf numFmtId="14" fontId="5" fillId="4" borderId="0" xfId="0" applyNumberFormat="1" applyFont="1" applyFill="1"/>
    <xf numFmtId="14" fontId="8" fillId="4" borderId="0" xfId="0" applyNumberFormat="1" applyFont="1" applyFill="1" applyAlignment="1">
      <alignment horizontal="right"/>
    </xf>
    <xf numFmtId="168" fontId="5" fillId="4" borderId="0" xfId="0" applyNumberFormat="1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4" fontId="11" fillId="4" borderId="0" xfId="0" applyNumberFormat="1" applyFont="1" applyFill="1" applyAlignment="1"/>
    <xf numFmtId="0" fontId="11" fillId="0" borderId="0" xfId="0" applyFont="1" applyFill="1" applyAlignment="1"/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1000"/>
  <sheetViews>
    <sheetView showGridLines="0" tabSelected="1" topLeftCell="B6" workbookViewId="0">
      <selection activeCell="N23" sqref="N23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  <col min="10" max="10" width="18.7109375" customWidth="1"/>
    <col min="11" max="11" width="14" customWidth="1"/>
  </cols>
  <sheetData>
    <row r="1" spans="1:15" ht="15.75" customHeight="1">
      <c r="A1" s="1" t="s">
        <v>0</v>
      </c>
    </row>
    <row r="2" spans="1:15" ht="15.75" customHeight="1"/>
    <row r="3" spans="1:15" ht="15.75" customHeight="1">
      <c r="B3" s="2" t="s">
        <v>1</v>
      </c>
    </row>
    <row r="4" spans="1:15" ht="15.75" customHeight="1">
      <c r="C4" s="3" t="s">
        <v>2</v>
      </c>
      <c r="K4" s="25">
        <f>Dataset!I2</f>
        <v>1000</v>
      </c>
      <c r="L4" s="12" t="s">
        <v>131</v>
      </c>
    </row>
    <row r="5" spans="1:15" ht="33" customHeight="1">
      <c r="B5" s="4"/>
      <c r="C5" s="3" t="s">
        <v>3</v>
      </c>
      <c r="K5" s="26" t="str">
        <f>Dataset!L1</f>
        <v>Category Imputed</v>
      </c>
      <c r="L5" s="12" t="s">
        <v>116</v>
      </c>
    </row>
    <row r="6" spans="1:15" ht="15.75" customHeight="1">
      <c r="B6" s="4"/>
    </row>
    <row r="7" spans="1:15" ht="15.75" customHeight="1">
      <c r="B7" s="2" t="s">
        <v>4</v>
      </c>
    </row>
    <row r="8" spans="1:15" ht="15.75" customHeight="1">
      <c r="C8" s="3" t="s">
        <v>5</v>
      </c>
      <c r="I8" s="14" t="str">
        <f>Dataset!E2</f>
        <v>Laptop</v>
      </c>
      <c r="J8" s="12" t="s">
        <v>128</v>
      </c>
    </row>
    <row r="9" spans="1:15" ht="15.75" customHeight="1">
      <c r="C9" s="3" t="s">
        <v>6</v>
      </c>
      <c r="I9" s="15" t="s">
        <v>117</v>
      </c>
      <c r="J9" s="12"/>
    </row>
    <row r="10" spans="1:15" ht="15.75" customHeight="1">
      <c r="C10" s="3" t="s">
        <v>7</v>
      </c>
      <c r="N10" s="13" t="str">
        <f>Dataset!M2</f>
        <v>Electronics</v>
      </c>
      <c r="O10" s="12" t="s">
        <v>119</v>
      </c>
    </row>
    <row r="11" spans="1:15" ht="15.75" customHeight="1">
      <c r="B11" s="4"/>
    </row>
    <row r="12" spans="1:15" ht="15.75" customHeight="1">
      <c r="B12" s="2" t="s">
        <v>8</v>
      </c>
    </row>
    <row r="13" spans="1:15" ht="15.75" customHeight="1">
      <c r="B13" s="2"/>
      <c r="C13" s="3" t="s">
        <v>9</v>
      </c>
      <c r="K13" s="12" t="s">
        <v>120</v>
      </c>
    </row>
    <row r="14" spans="1:15" ht="15.75" customHeight="1"/>
    <row r="15" spans="1:15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5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  <c r="M16" s="23">
        <f>Dataset!B2</f>
        <v>45685</v>
      </c>
      <c r="N16" s="12" t="s">
        <v>126</v>
      </c>
    </row>
    <row r="17" spans="2:12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19" t="s">
        <v>118</v>
      </c>
      <c r="K17" s="20" t="str">
        <f>Dataset!G2</f>
        <v>Laptop Dell</v>
      </c>
      <c r="L17" s="12" t="s">
        <v>124</v>
      </c>
    </row>
    <row r="18" spans="2:12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2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2" ht="15.75" customHeight="1">
      <c r="B20" s="6"/>
      <c r="C20" s="7" t="s">
        <v>14</v>
      </c>
      <c r="D20" s="6"/>
      <c r="E20" s="6"/>
      <c r="F20" s="6"/>
      <c r="G20" s="6"/>
      <c r="J20" s="20">
        <f>Dataset!I2</f>
        <v>1000</v>
      </c>
      <c r="K20" s="21" t="s">
        <v>125</v>
      </c>
    </row>
    <row r="21" spans="2:12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29">
        <f>Dataset!B2</f>
        <v>45685</v>
      </c>
      <c r="K21" s="30" t="s">
        <v>132</v>
      </c>
    </row>
    <row r="22" spans="2:1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2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2" ht="15.75" customHeight="1">
      <c r="B24" s="6"/>
      <c r="C24" s="7" t="s">
        <v>17</v>
      </c>
      <c r="D24" s="6"/>
      <c r="E24" s="6"/>
      <c r="F24" s="6"/>
      <c r="G24" s="6"/>
      <c r="H24" s="6"/>
      <c r="I24" s="20">
        <f>Dataset!I2</f>
        <v>1000</v>
      </c>
      <c r="J24" s="6"/>
      <c r="K24" s="6"/>
    </row>
    <row r="25" spans="2:12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  <c r="L25" s="14" t="str">
        <f>Dataset!M2</f>
        <v>Electronics</v>
      </c>
    </row>
    <row r="26" spans="2:12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2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1000"/>
  <sheetViews>
    <sheetView workbookViewId="0">
      <selection activeCell="D6" sqref="D6"/>
    </sheetView>
  </sheetViews>
  <sheetFormatPr defaultColWidth="12.5703125" defaultRowHeight="15" customHeight="1"/>
  <cols>
    <col min="1" max="1" width="12.5703125" customWidth="1"/>
    <col min="2" max="2" width="16.28515625" bestFit="1" customWidth="1"/>
    <col min="3" max="3" width="12.5703125" style="28" customWidth="1"/>
    <col min="4" max="6" width="12.5703125" customWidth="1"/>
    <col min="7" max="7" width="21.7109375" bestFit="1" customWidth="1"/>
    <col min="8" max="11" width="12.5703125" customWidth="1"/>
  </cols>
  <sheetData>
    <row r="1" spans="1:20" s="18" customFormat="1" ht="42" customHeight="1">
      <c r="A1" s="16" t="s">
        <v>19</v>
      </c>
      <c r="B1" s="17" t="s">
        <v>121</v>
      </c>
      <c r="C1" s="17" t="s">
        <v>122</v>
      </c>
      <c r="D1" s="16" t="s">
        <v>20</v>
      </c>
      <c r="E1" s="16" t="s">
        <v>20</v>
      </c>
      <c r="F1" s="16" t="s">
        <v>21</v>
      </c>
      <c r="G1" s="17" t="s">
        <v>123</v>
      </c>
      <c r="H1" s="16" t="s">
        <v>22</v>
      </c>
      <c r="I1" s="17" t="s">
        <v>127</v>
      </c>
      <c r="J1" s="16" t="s">
        <v>23</v>
      </c>
      <c r="K1" s="16" t="s">
        <v>24</v>
      </c>
      <c r="L1" s="17" t="s">
        <v>129</v>
      </c>
      <c r="M1" s="17" t="s">
        <v>24</v>
      </c>
    </row>
    <row r="2" spans="1:20" ht="15.75" customHeight="1">
      <c r="A2" s="9" t="s">
        <v>25</v>
      </c>
      <c r="B2" s="22">
        <f>VALUE(LEFT(SUBSTITUTE(A2,"-"," "),6))</f>
        <v>45685</v>
      </c>
      <c r="C2" s="27" t="str">
        <f>RIGHT(A2,2)</f>
        <v>US</v>
      </c>
      <c r="D2" s="9" t="s">
        <v>26</v>
      </c>
      <c r="E2" s="11" t="str">
        <f>PROPER(CLEAN((D2)))</f>
        <v>Laptop</v>
      </c>
      <c r="F2" s="9" t="s">
        <v>27</v>
      </c>
      <c r="G2" s="11" t="str">
        <f>CONCATENATE(E2," ",F2)</f>
        <v>Laptop Dell</v>
      </c>
      <c r="H2" s="9">
        <v>1000</v>
      </c>
      <c r="I2" s="24">
        <f>IF(ISBLANK(H2),AVERAGE($H$2:$H$32),H2)</f>
        <v>1000</v>
      </c>
      <c r="J2" s="9">
        <v>30</v>
      </c>
      <c r="K2" s="9" t="s">
        <v>28</v>
      </c>
      <c r="L2" s="13" t="str">
        <f>IF(ISBLANK(K2),"Unknown",K2)</f>
        <v>Electronics</v>
      </c>
      <c r="M2" s="9" t="s">
        <v>28</v>
      </c>
    </row>
    <row r="3" spans="1:20" ht="15.75" customHeight="1">
      <c r="A3" s="10" t="s">
        <v>29</v>
      </c>
      <c r="B3" s="22">
        <f t="shared" ref="B3:B32" si="0">VALUE(LEFT(SUBSTITUTE(A3,"-"," "),6))</f>
        <v>45703</v>
      </c>
      <c r="C3" s="27" t="str">
        <f t="shared" ref="C3:C32" si="1">RIGHT(A3,2)</f>
        <v>US</v>
      </c>
      <c r="D3" s="10" t="s">
        <v>30</v>
      </c>
      <c r="E3" s="11" t="str">
        <f t="shared" ref="E3:E32" si="2">PROPER(CLEAN((D3)))</f>
        <v>Sneakers</v>
      </c>
      <c r="F3" s="10" t="s">
        <v>31</v>
      </c>
      <c r="G3" s="11" t="str">
        <f t="shared" ref="G3:G32" si="3">CONCATENATE(E3," ",F3)</f>
        <v>Sneakers Nike</v>
      </c>
      <c r="H3" s="10">
        <v>80</v>
      </c>
      <c r="I3" s="24">
        <f t="shared" ref="I3:I32" si="4">IF(ISBLANK(H3),AVERAGE($H$2:$H$32),H3)</f>
        <v>80</v>
      </c>
      <c r="J3" s="10">
        <v>15</v>
      </c>
      <c r="K3" s="10" t="s">
        <v>32</v>
      </c>
      <c r="L3" s="13" t="str">
        <f t="shared" ref="L3:L32" si="5">IF(ISBLANK(K3),"Unknown",K3)</f>
        <v>Fashion</v>
      </c>
      <c r="M3" s="9" t="s">
        <v>32</v>
      </c>
      <c r="N3" s="6"/>
      <c r="O3" s="6"/>
      <c r="P3" s="6"/>
      <c r="Q3" s="6"/>
      <c r="R3" s="6"/>
      <c r="S3" s="6"/>
      <c r="T3" s="6"/>
    </row>
    <row r="4" spans="1:20" ht="15.75" customHeight="1">
      <c r="A4" s="9" t="s">
        <v>33</v>
      </c>
      <c r="B4" s="22">
        <f t="shared" si="0"/>
        <v>45719</v>
      </c>
      <c r="C4" s="27" t="str">
        <f t="shared" si="1"/>
        <v>US</v>
      </c>
      <c r="D4" s="9" t="s">
        <v>34</v>
      </c>
      <c r="E4" s="11" t="str">
        <f t="shared" si="2"/>
        <v>Coffee Maker</v>
      </c>
      <c r="F4" s="9" t="s">
        <v>35</v>
      </c>
      <c r="G4" s="11" t="str">
        <f t="shared" si="3"/>
        <v>Coffee Maker Keurig</v>
      </c>
      <c r="H4" s="9">
        <v>130</v>
      </c>
      <c r="I4" s="24">
        <f t="shared" si="4"/>
        <v>130</v>
      </c>
      <c r="J4" s="9">
        <v>40</v>
      </c>
      <c r="K4" s="9" t="s">
        <v>36</v>
      </c>
      <c r="L4" s="13" t="str">
        <f t="shared" si="5"/>
        <v>Kitchen</v>
      </c>
      <c r="M4" s="9" t="s">
        <v>36</v>
      </c>
      <c r="N4" s="7"/>
      <c r="O4" s="6"/>
      <c r="P4" s="6"/>
      <c r="Q4" s="6"/>
      <c r="R4" s="6"/>
      <c r="S4" s="6"/>
      <c r="T4" s="6"/>
    </row>
    <row r="5" spans="1:20" ht="15.75" customHeight="1">
      <c r="A5" s="10" t="s">
        <v>37</v>
      </c>
      <c r="B5" s="22">
        <f t="shared" si="0"/>
        <v>45758</v>
      </c>
      <c r="C5" s="27" t="str">
        <f t="shared" si="1"/>
        <v>US</v>
      </c>
      <c r="D5" s="10" t="s">
        <v>38</v>
      </c>
      <c r="E5" s="11" t="str">
        <f t="shared" si="2"/>
        <v>Smartphone</v>
      </c>
      <c r="F5" s="10" t="s">
        <v>39</v>
      </c>
      <c r="G5" s="11" t="str">
        <f t="shared" si="3"/>
        <v>Smartphone Samsung</v>
      </c>
      <c r="H5" s="10">
        <v>900</v>
      </c>
      <c r="I5" s="24">
        <f t="shared" si="4"/>
        <v>900</v>
      </c>
      <c r="J5" s="10">
        <v>25</v>
      </c>
      <c r="K5" s="10" t="s">
        <v>28</v>
      </c>
      <c r="L5" s="13" t="str">
        <f t="shared" si="5"/>
        <v>Electronics</v>
      </c>
      <c r="M5" s="9" t="s">
        <v>28</v>
      </c>
      <c r="N5" s="7"/>
      <c r="O5" s="6"/>
      <c r="P5" s="6"/>
      <c r="Q5" s="6"/>
      <c r="R5" s="6"/>
      <c r="S5" s="6"/>
      <c r="T5" s="6"/>
    </row>
    <row r="6" spans="1:20" ht="15.75" customHeight="1">
      <c r="A6" s="9" t="s">
        <v>40</v>
      </c>
      <c r="B6" s="22">
        <f t="shared" si="0"/>
        <v>45799</v>
      </c>
      <c r="C6" s="27" t="str">
        <f t="shared" si="1"/>
        <v>US</v>
      </c>
      <c r="D6" s="9" t="s">
        <v>41</v>
      </c>
      <c r="E6" s="11" t="str">
        <f t="shared" si="2"/>
        <v>Backpack</v>
      </c>
      <c r="F6" s="9" t="s">
        <v>42</v>
      </c>
      <c r="G6" s="11" t="str">
        <f t="shared" si="3"/>
        <v>Backpack North Face</v>
      </c>
      <c r="H6" s="9">
        <v>70</v>
      </c>
      <c r="I6" s="24">
        <f t="shared" si="4"/>
        <v>70</v>
      </c>
      <c r="J6" s="9">
        <v>20</v>
      </c>
      <c r="K6" s="9"/>
      <c r="L6" s="13" t="str">
        <f t="shared" si="5"/>
        <v>Unknown</v>
      </c>
      <c r="M6" s="9" t="s">
        <v>130</v>
      </c>
    </row>
    <row r="7" spans="1:20" ht="15.75" customHeight="1">
      <c r="A7" s="10" t="s">
        <v>43</v>
      </c>
      <c r="B7" s="22">
        <f t="shared" si="0"/>
        <v>45815</v>
      </c>
      <c r="C7" s="27" t="str">
        <f t="shared" si="1"/>
        <v>UK</v>
      </c>
      <c r="D7" s="10" t="s">
        <v>44</v>
      </c>
      <c r="E7" s="11" t="str">
        <f t="shared" si="2"/>
        <v>Headphones</v>
      </c>
      <c r="F7" s="10" t="s">
        <v>45</v>
      </c>
      <c r="G7" s="11" t="str">
        <f t="shared" si="3"/>
        <v>Headphones Sony</v>
      </c>
      <c r="H7" s="10"/>
      <c r="I7" s="24">
        <f t="shared" si="4"/>
        <v>297.85714285714283</v>
      </c>
      <c r="J7" s="10">
        <v>45</v>
      </c>
      <c r="K7" s="10" t="s">
        <v>46</v>
      </c>
      <c r="L7" s="13" t="str">
        <f t="shared" si="5"/>
        <v>Electroni</v>
      </c>
      <c r="M7" s="9" t="s">
        <v>28</v>
      </c>
    </row>
    <row r="8" spans="1:20" ht="15.75" customHeight="1">
      <c r="A8" s="9" t="s">
        <v>47</v>
      </c>
      <c r="B8" s="22">
        <f t="shared" si="0"/>
        <v>45857</v>
      </c>
      <c r="C8" s="27" t="str">
        <f t="shared" si="1"/>
        <v>UK</v>
      </c>
      <c r="D8" s="9" t="s">
        <v>48</v>
      </c>
      <c r="E8" s="11" t="str">
        <f t="shared" si="2"/>
        <v>T-Shirt</v>
      </c>
      <c r="F8" s="9" t="s">
        <v>49</v>
      </c>
      <c r="G8" s="11" t="str">
        <f t="shared" si="3"/>
        <v>T-Shirt Adidas</v>
      </c>
      <c r="H8" s="9">
        <v>30</v>
      </c>
      <c r="I8" s="24">
        <f t="shared" si="4"/>
        <v>30</v>
      </c>
      <c r="J8" s="9">
        <v>5</v>
      </c>
      <c r="K8" s="9" t="s">
        <v>32</v>
      </c>
      <c r="L8" s="13" t="str">
        <f t="shared" si="5"/>
        <v>Fashion</v>
      </c>
      <c r="M8" s="9" t="s">
        <v>32</v>
      </c>
    </row>
    <row r="9" spans="1:20" ht="15.75" customHeight="1">
      <c r="A9" s="10" t="s">
        <v>50</v>
      </c>
      <c r="B9" s="22">
        <f t="shared" si="0"/>
        <v>45892</v>
      </c>
      <c r="C9" s="27" t="str">
        <f t="shared" si="1"/>
        <v>UK</v>
      </c>
      <c r="D9" s="10" t="s">
        <v>51</v>
      </c>
      <c r="E9" s="11" t="str">
        <f t="shared" si="2"/>
        <v>Blender</v>
      </c>
      <c r="F9" s="10" t="s">
        <v>52</v>
      </c>
      <c r="G9" s="11" t="str">
        <f t="shared" si="3"/>
        <v>Blender Ninja</v>
      </c>
      <c r="H9" s="10">
        <v>90</v>
      </c>
      <c r="I9" s="24">
        <f t="shared" si="4"/>
        <v>90</v>
      </c>
      <c r="J9" s="10">
        <v>35</v>
      </c>
      <c r="K9" s="10" t="s">
        <v>36</v>
      </c>
      <c r="L9" s="13" t="str">
        <f t="shared" si="5"/>
        <v>Kitchen</v>
      </c>
      <c r="M9" s="9" t="s">
        <v>36</v>
      </c>
    </row>
    <row r="10" spans="1:20" ht="15.75" customHeight="1">
      <c r="A10" s="9" t="s">
        <v>53</v>
      </c>
      <c r="B10" s="22">
        <f t="shared" si="0"/>
        <v>45905</v>
      </c>
      <c r="C10" s="27" t="str">
        <f t="shared" si="1"/>
        <v>UK</v>
      </c>
      <c r="D10" s="9" t="s">
        <v>54</v>
      </c>
      <c r="E10" s="11" t="str">
        <f t="shared" si="2"/>
        <v>Tablet</v>
      </c>
      <c r="F10" s="9" t="s">
        <v>55</v>
      </c>
      <c r="G10" s="11" t="str">
        <f t="shared" si="3"/>
        <v>Tablet Apple</v>
      </c>
      <c r="H10" s="9">
        <v>500</v>
      </c>
      <c r="I10" s="24">
        <f t="shared" si="4"/>
        <v>500</v>
      </c>
      <c r="J10" s="9">
        <v>50</v>
      </c>
      <c r="K10" s="9" t="s">
        <v>28</v>
      </c>
      <c r="L10" s="13" t="str">
        <f t="shared" si="5"/>
        <v>Electronics</v>
      </c>
      <c r="M10" s="9" t="s">
        <v>28</v>
      </c>
    </row>
    <row r="11" spans="1:20" ht="15.75" customHeight="1">
      <c r="A11" s="10" t="s">
        <v>56</v>
      </c>
      <c r="B11" s="22">
        <f t="shared" si="0"/>
        <v>45944</v>
      </c>
      <c r="C11" s="27" t="str">
        <f t="shared" si="1"/>
        <v>UK</v>
      </c>
      <c r="D11" s="10" t="s">
        <v>57</v>
      </c>
      <c r="E11" s="11" t="str">
        <f t="shared" si="2"/>
        <v>Hiking Boots</v>
      </c>
      <c r="F11" s="10" t="s">
        <v>58</v>
      </c>
      <c r="G11" s="11" t="str">
        <f t="shared" si="3"/>
        <v>Hiking Boots Timberland</v>
      </c>
      <c r="H11" s="10">
        <v>130</v>
      </c>
      <c r="I11" s="24">
        <f t="shared" si="4"/>
        <v>130</v>
      </c>
      <c r="J11" s="10">
        <v>10</v>
      </c>
      <c r="K11" s="10" t="s">
        <v>59</v>
      </c>
      <c r="L11" s="13" t="str">
        <f t="shared" si="5"/>
        <v>Outdoor</v>
      </c>
      <c r="M11" s="9" t="s">
        <v>59</v>
      </c>
    </row>
    <row r="12" spans="1:20" ht="15.75" customHeight="1">
      <c r="A12" s="9" t="s">
        <v>60</v>
      </c>
      <c r="B12" s="22">
        <f t="shared" si="0"/>
        <v>45825</v>
      </c>
      <c r="C12" s="27" t="str">
        <f t="shared" si="1"/>
        <v>IN</v>
      </c>
      <c r="D12" s="9" t="s">
        <v>61</v>
      </c>
      <c r="E12" s="11" t="str">
        <f t="shared" si="2"/>
        <v>Laptop</v>
      </c>
      <c r="F12" s="9" t="s">
        <v>62</v>
      </c>
      <c r="G12" s="11" t="str">
        <f t="shared" si="3"/>
        <v>Laptop HP</v>
      </c>
      <c r="H12" s="9">
        <v>950</v>
      </c>
      <c r="I12" s="24">
        <f t="shared" si="4"/>
        <v>950</v>
      </c>
      <c r="J12" s="9">
        <v>25</v>
      </c>
      <c r="K12" s="9" t="s">
        <v>28</v>
      </c>
      <c r="L12" s="13" t="str">
        <f t="shared" si="5"/>
        <v>Electronics</v>
      </c>
      <c r="M12" s="9" t="s">
        <v>28</v>
      </c>
    </row>
    <row r="13" spans="1:20" ht="15.75" customHeight="1">
      <c r="A13" s="10" t="s">
        <v>63</v>
      </c>
      <c r="B13" s="22">
        <f t="shared" si="0"/>
        <v>45986</v>
      </c>
      <c r="C13" s="27" t="str">
        <f t="shared" si="1"/>
        <v>AU</v>
      </c>
      <c r="D13" s="10" t="s">
        <v>30</v>
      </c>
      <c r="E13" s="11" t="str">
        <f t="shared" si="2"/>
        <v>Sneakers</v>
      </c>
      <c r="F13" s="10" t="s">
        <v>49</v>
      </c>
      <c r="G13" s="11" t="str">
        <f t="shared" si="3"/>
        <v>Sneakers Adidas</v>
      </c>
      <c r="H13" s="10">
        <v>90</v>
      </c>
      <c r="I13" s="24">
        <f t="shared" si="4"/>
        <v>90</v>
      </c>
      <c r="J13" s="10">
        <v>40</v>
      </c>
      <c r="K13" s="10"/>
      <c r="L13" s="13" t="str">
        <f t="shared" si="5"/>
        <v>Unknown</v>
      </c>
      <c r="M13" s="9" t="s">
        <v>130</v>
      </c>
    </row>
    <row r="14" spans="1:20" ht="15.75" customHeight="1">
      <c r="A14" s="9" t="s">
        <v>64</v>
      </c>
      <c r="B14" s="22">
        <f t="shared" si="0"/>
        <v>45999</v>
      </c>
      <c r="C14" s="27" t="str">
        <f t="shared" si="1"/>
        <v>DE</v>
      </c>
      <c r="D14" s="9" t="s">
        <v>34</v>
      </c>
      <c r="E14" s="11" t="str">
        <f t="shared" si="2"/>
        <v>Coffee Maker</v>
      </c>
      <c r="F14" s="9" t="s">
        <v>65</v>
      </c>
      <c r="G14" s="11" t="str">
        <f t="shared" si="3"/>
        <v>Coffee Maker Nespresso</v>
      </c>
      <c r="H14" s="9">
        <v>120</v>
      </c>
      <c r="I14" s="24">
        <f t="shared" si="4"/>
        <v>120</v>
      </c>
      <c r="J14" s="9">
        <v>35</v>
      </c>
      <c r="K14" s="9"/>
      <c r="L14" s="13" t="str">
        <f t="shared" si="5"/>
        <v>Unknown</v>
      </c>
      <c r="M14" s="9" t="s">
        <v>130</v>
      </c>
    </row>
    <row r="15" spans="1:20" ht="15.75" customHeight="1">
      <c r="A15" s="10" t="s">
        <v>66</v>
      </c>
      <c r="B15" s="22">
        <f t="shared" si="0"/>
        <v>45706</v>
      </c>
      <c r="C15" s="27" t="str">
        <f t="shared" si="1"/>
        <v>CA</v>
      </c>
      <c r="D15" s="10" t="s">
        <v>67</v>
      </c>
      <c r="E15" s="11" t="str">
        <f t="shared" si="2"/>
        <v>Smartwatch</v>
      </c>
      <c r="F15" s="10" t="s">
        <v>68</v>
      </c>
      <c r="G15" s="11" t="str">
        <f t="shared" si="3"/>
        <v>Smartwatch Fitbit</v>
      </c>
      <c r="H15" s="10">
        <v>150</v>
      </c>
      <c r="I15" s="24">
        <f t="shared" si="4"/>
        <v>150</v>
      </c>
      <c r="J15" s="10">
        <v>15</v>
      </c>
      <c r="K15" s="10" t="s">
        <v>46</v>
      </c>
      <c r="L15" s="13" t="str">
        <f t="shared" si="5"/>
        <v>Electroni</v>
      </c>
      <c r="M15" s="9" t="s">
        <v>28</v>
      </c>
    </row>
    <row r="16" spans="1:20" ht="15.75" customHeight="1">
      <c r="A16" s="9" t="s">
        <v>69</v>
      </c>
      <c r="B16" s="22">
        <f t="shared" si="0"/>
        <v>45763</v>
      </c>
      <c r="C16" s="27" t="str">
        <f t="shared" si="1"/>
        <v>ES</v>
      </c>
      <c r="D16" s="9" t="s">
        <v>70</v>
      </c>
      <c r="E16" s="11" t="str">
        <f t="shared" si="2"/>
        <v>Headphones</v>
      </c>
      <c r="F16" s="9" t="s">
        <v>71</v>
      </c>
      <c r="G16" s="11" t="str">
        <f t="shared" si="3"/>
        <v>Headphones Bose</v>
      </c>
      <c r="H16" s="9">
        <v>250</v>
      </c>
      <c r="I16" s="24">
        <f t="shared" si="4"/>
        <v>250</v>
      </c>
      <c r="J16" s="9">
        <v>20</v>
      </c>
      <c r="K16" s="9" t="s">
        <v>46</v>
      </c>
      <c r="L16" s="13" t="str">
        <f t="shared" si="5"/>
        <v>Electroni</v>
      </c>
      <c r="M16" s="9" t="s">
        <v>28</v>
      </c>
    </row>
    <row r="17" spans="1:13" ht="15.75" customHeight="1">
      <c r="A17" s="10" t="s">
        <v>72</v>
      </c>
      <c r="B17" s="22">
        <f t="shared" si="0"/>
        <v>45890</v>
      </c>
      <c r="C17" s="27" t="str">
        <f t="shared" si="1"/>
        <v>CA</v>
      </c>
      <c r="D17" s="10" t="s">
        <v>73</v>
      </c>
      <c r="E17" s="11" t="str">
        <f t="shared" si="2"/>
        <v>Laptop Bag</v>
      </c>
      <c r="F17" s="10" t="s">
        <v>74</v>
      </c>
      <c r="G17" s="11" t="str">
        <f t="shared" si="3"/>
        <v>Laptop Bag Samsonite</v>
      </c>
      <c r="H17" s="10">
        <v>50</v>
      </c>
      <c r="I17" s="24">
        <f t="shared" si="4"/>
        <v>50</v>
      </c>
      <c r="J17" s="10">
        <v>35</v>
      </c>
      <c r="K17" s="10" t="s">
        <v>75</v>
      </c>
      <c r="L17" s="13" t="str">
        <f t="shared" si="5"/>
        <v>Accessories</v>
      </c>
      <c r="M17" s="9" t="s">
        <v>75</v>
      </c>
    </row>
    <row r="18" spans="1:13" ht="15.75" customHeight="1">
      <c r="A18" s="9" t="s">
        <v>76</v>
      </c>
      <c r="B18" s="22">
        <f t="shared" si="0"/>
        <v>45889</v>
      </c>
      <c r="C18" s="27" t="str">
        <f t="shared" si="1"/>
        <v>CN</v>
      </c>
      <c r="D18" s="9" t="s">
        <v>67</v>
      </c>
      <c r="E18" s="11" t="str">
        <f t="shared" si="2"/>
        <v>Smartwatch</v>
      </c>
      <c r="F18" s="9" t="s">
        <v>77</v>
      </c>
      <c r="G18" s="11" t="str">
        <f t="shared" si="3"/>
        <v>Smartwatch Huawei</v>
      </c>
      <c r="H18" s="9">
        <v>160</v>
      </c>
      <c r="I18" s="24">
        <f t="shared" si="4"/>
        <v>160</v>
      </c>
      <c r="J18" s="9">
        <v>15</v>
      </c>
      <c r="K18" s="9" t="s">
        <v>46</v>
      </c>
      <c r="L18" s="13" t="str">
        <f t="shared" si="5"/>
        <v>Electroni</v>
      </c>
      <c r="M18" s="9" t="s">
        <v>28</v>
      </c>
    </row>
    <row r="19" spans="1:13" ht="15.75" customHeight="1">
      <c r="A19" s="10" t="s">
        <v>78</v>
      </c>
      <c r="B19" s="22">
        <f t="shared" si="0"/>
        <v>45684</v>
      </c>
      <c r="C19" s="27" t="str">
        <f t="shared" si="1"/>
        <v>IT</v>
      </c>
      <c r="D19" s="10" t="s">
        <v>26</v>
      </c>
      <c r="E19" s="11" t="str">
        <f t="shared" si="2"/>
        <v>Laptop</v>
      </c>
      <c r="F19" s="10" t="s">
        <v>79</v>
      </c>
      <c r="G19" s="11" t="str">
        <f t="shared" si="3"/>
        <v>Laptop Asus</v>
      </c>
      <c r="H19" s="10">
        <v>980</v>
      </c>
      <c r="I19" s="24">
        <f t="shared" si="4"/>
        <v>980</v>
      </c>
      <c r="J19" s="10">
        <v>10</v>
      </c>
      <c r="K19" s="10" t="s">
        <v>28</v>
      </c>
      <c r="L19" s="13" t="str">
        <f t="shared" si="5"/>
        <v>Electronics</v>
      </c>
      <c r="M19" s="9" t="s">
        <v>28</v>
      </c>
    </row>
    <row r="20" spans="1:13" ht="15.75" customHeight="1">
      <c r="A20" s="9" t="s">
        <v>80</v>
      </c>
      <c r="B20" s="22">
        <f t="shared" si="0"/>
        <v>45717</v>
      </c>
      <c r="C20" s="27" t="str">
        <f t="shared" si="1"/>
        <v>UK</v>
      </c>
      <c r="D20" s="9" t="s">
        <v>81</v>
      </c>
      <c r="E20" s="11" t="str">
        <f t="shared" si="2"/>
        <v>Sunglasses</v>
      </c>
      <c r="F20" s="9" t="s">
        <v>82</v>
      </c>
      <c r="G20" s="11" t="str">
        <f t="shared" si="3"/>
        <v>Sunglasses Oakley</v>
      </c>
      <c r="H20" s="9">
        <v>150</v>
      </c>
      <c r="I20" s="24">
        <f t="shared" si="4"/>
        <v>150</v>
      </c>
      <c r="J20" s="9">
        <v>15</v>
      </c>
      <c r="K20" s="9" t="s">
        <v>32</v>
      </c>
      <c r="L20" s="13" t="str">
        <f t="shared" si="5"/>
        <v>Fashion</v>
      </c>
      <c r="M20" s="9" t="s">
        <v>32</v>
      </c>
    </row>
    <row r="21" spans="1:13" ht="15.75" customHeight="1">
      <c r="A21" s="10" t="s">
        <v>83</v>
      </c>
      <c r="B21" s="22">
        <f t="shared" si="0"/>
        <v>45883</v>
      </c>
      <c r="C21" s="27" t="str">
        <f t="shared" si="1"/>
        <v>US</v>
      </c>
      <c r="D21" s="10" t="s">
        <v>84</v>
      </c>
      <c r="E21" s="11" t="str">
        <f t="shared" si="2"/>
        <v>Camping Tent</v>
      </c>
      <c r="F21" s="10" t="s">
        <v>85</v>
      </c>
      <c r="G21" s="11" t="str">
        <f t="shared" si="3"/>
        <v>Camping Tent Coleman</v>
      </c>
      <c r="H21" s="10"/>
      <c r="I21" s="24">
        <f t="shared" si="4"/>
        <v>297.85714285714283</v>
      </c>
      <c r="J21" s="10">
        <v>10</v>
      </c>
      <c r="K21" s="10" t="s">
        <v>59</v>
      </c>
      <c r="L21" s="13" t="str">
        <f t="shared" si="5"/>
        <v>Outdoor</v>
      </c>
      <c r="M21" s="9" t="s">
        <v>59</v>
      </c>
    </row>
    <row r="22" spans="1:13" ht="15.75" customHeight="1">
      <c r="A22" s="9" t="s">
        <v>86</v>
      </c>
      <c r="B22" s="22">
        <f t="shared" si="0"/>
        <v>45791</v>
      </c>
      <c r="C22" s="27" t="str">
        <f t="shared" si="1"/>
        <v>RU</v>
      </c>
      <c r="D22" s="9" t="s">
        <v>87</v>
      </c>
      <c r="E22" s="11" t="str">
        <f t="shared" si="2"/>
        <v>Camera</v>
      </c>
      <c r="F22" s="9" t="s">
        <v>88</v>
      </c>
      <c r="G22" s="11" t="str">
        <f t="shared" si="3"/>
        <v>Camera Nikon</v>
      </c>
      <c r="H22" s="9">
        <v>700</v>
      </c>
      <c r="I22" s="24">
        <f t="shared" si="4"/>
        <v>700</v>
      </c>
      <c r="J22" s="9">
        <v>50</v>
      </c>
      <c r="K22" s="9" t="s">
        <v>28</v>
      </c>
      <c r="L22" s="13" t="str">
        <f t="shared" si="5"/>
        <v>Electronics</v>
      </c>
      <c r="M22" s="9" t="s">
        <v>28</v>
      </c>
    </row>
    <row r="23" spans="1:13" ht="15.75" customHeight="1">
      <c r="A23" s="10" t="s">
        <v>89</v>
      </c>
      <c r="B23" s="22">
        <f t="shared" si="0"/>
        <v>45666</v>
      </c>
      <c r="C23" s="27" t="str">
        <f t="shared" si="1"/>
        <v>CA</v>
      </c>
      <c r="D23" s="10" t="s">
        <v>90</v>
      </c>
      <c r="E23" s="11" t="str">
        <f t="shared" si="2"/>
        <v>Microwave</v>
      </c>
      <c r="F23" s="10" t="s">
        <v>91</v>
      </c>
      <c r="G23" s="11" t="str">
        <f t="shared" si="3"/>
        <v>Microwave Panasonic</v>
      </c>
      <c r="H23" s="10">
        <v>80</v>
      </c>
      <c r="I23" s="24">
        <f t="shared" si="4"/>
        <v>80</v>
      </c>
      <c r="J23" s="10">
        <v>20</v>
      </c>
      <c r="K23" s="10" t="s">
        <v>36</v>
      </c>
      <c r="L23" s="13" t="str">
        <f t="shared" si="5"/>
        <v>Kitchen</v>
      </c>
      <c r="M23" s="9" t="s">
        <v>36</v>
      </c>
    </row>
    <row r="24" spans="1:13" ht="15.75" customHeight="1">
      <c r="A24" s="9" t="s">
        <v>92</v>
      </c>
      <c r="B24" s="22">
        <f t="shared" si="0"/>
        <v>45857</v>
      </c>
      <c r="C24" s="27" t="str">
        <f t="shared" si="1"/>
        <v>BR</v>
      </c>
      <c r="D24" s="9" t="s">
        <v>93</v>
      </c>
      <c r="E24" s="11" t="str">
        <f t="shared" si="2"/>
        <v>Fitness Tracker</v>
      </c>
      <c r="F24" s="9" t="s">
        <v>94</v>
      </c>
      <c r="G24" s="11" t="str">
        <f t="shared" si="3"/>
        <v>Fitness Tracker Xiaomi</v>
      </c>
      <c r="H24" s="9">
        <v>150</v>
      </c>
      <c r="I24" s="24">
        <f t="shared" si="4"/>
        <v>150</v>
      </c>
      <c r="J24" s="9">
        <v>30</v>
      </c>
      <c r="K24" s="9"/>
      <c r="L24" s="13" t="str">
        <f t="shared" si="5"/>
        <v>Unknown</v>
      </c>
      <c r="M24" s="9" t="s">
        <v>130</v>
      </c>
    </row>
    <row r="25" spans="1:13" ht="15.75" customHeight="1">
      <c r="A25" s="9" t="s">
        <v>95</v>
      </c>
      <c r="B25" s="22">
        <f t="shared" si="0"/>
        <v>45929</v>
      </c>
      <c r="C25" s="27" t="str">
        <f t="shared" si="1"/>
        <v>CA</v>
      </c>
      <c r="D25" s="9" t="s">
        <v>96</v>
      </c>
      <c r="E25" s="11" t="str">
        <f t="shared" si="2"/>
        <v>Smartphone</v>
      </c>
      <c r="F25" s="9" t="s">
        <v>97</v>
      </c>
      <c r="G25" s="11" t="str">
        <f t="shared" si="3"/>
        <v>Smartphone Google</v>
      </c>
      <c r="H25" s="9">
        <v>800</v>
      </c>
      <c r="I25" s="24">
        <f t="shared" si="4"/>
        <v>800</v>
      </c>
      <c r="J25" s="9">
        <v>45</v>
      </c>
      <c r="K25" s="9" t="s">
        <v>28</v>
      </c>
      <c r="L25" s="13" t="str">
        <f t="shared" si="5"/>
        <v>Electronics</v>
      </c>
      <c r="M25" s="9" t="s">
        <v>28</v>
      </c>
    </row>
    <row r="26" spans="1:13" ht="15.75" customHeight="1">
      <c r="A26" s="10" t="s">
        <v>98</v>
      </c>
      <c r="B26" s="22">
        <f t="shared" si="0"/>
        <v>45811</v>
      </c>
      <c r="C26" s="27" t="str">
        <f t="shared" si="1"/>
        <v>CA</v>
      </c>
      <c r="D26" s="10" t="s">
        <v>81</v>
      </c>
      <c r="E26" s="11" t="str">
        <f t="shared" si="2"/>
        <v>Sunglasses</v>
      </c>
      <c r="F26" s="10" t="s">
        <v>99</v>
      </c>
      <c r="G26" s="11" t="str">
        <f t="shared" si="3"/>
        <v>Sunglasses Ray-Ban</v>
      </c>
      <c r="H26" s="10"/>
      <c r="I26" s="24">
        <f t="shared" si="4"/>
        <v>297.85714285714283</v>
      </c>
      <c r="J26" s="10">
        <v>25</v>
      </c>
      <c r="K26" s="10" t="s">
        <v>32</v>
      </c>
      <c r="L26" s="13" t="str">
        <f t="shared" si="5"/>
        <v>Fashion</v>
      </c>
      <c r="M26" s="9" t="s">
        <v>32</v>
      </c>
    </row>
    <row r="27" spans="1:13" ht="15.75" customHeight="1">
      <c r="A27" s="9" t="s">
        <v>100</v>
      </c>
      <c r="B27" s="22">
        <f t="shared" si="0"/>
        <v>45849</v>
      </c>
      <c r="C27" s="27" t="str">
        <f t="shared" si="1"/>
        <v>CA</v>
      </c>
      <c r="D27" s="9" t="s">
        <v>51</v>
      </c>
      <c r="E27" s="11" t="str">
        <f t="shared" si="2"/>
        <v>Blender</v>
      </c>
      <c r="F27" s="9" t="s">
        <v>101</v>
      </c>
      <c r="G27" s="11" t="str">
        <f t="shared" si="3"/>
        <v>Blender Vitamix</v>
      </c>
      <c r="H27" s="9">
        <v>400</v>
      </c>
      <c r="I27" s="24">
        <f t="shared" si="4"/>
        <v>400</v>
      </c>
      <c r="J27" s="9">
        <v>40</v>
      </c>
      <c r="K27" s="9" t="s">
        <v>36</v>
      </c>
      <c r="L27" s="13" t="str">
        <f t="shared" si="5"/>
        <v>Kitchen</v>
      </c>
      <c r="M27" s="9" t="s">
        <v>36</v>
      </c>
    </row>
    <row r="28" spans="1:13" ht="15.75" customHeight="1">
      <c r="A28" s="9" t="s">
        <v>102</v>
      </c>
      <c r="B28" s="22">
        <f t="shared" si="0"/>
        <v>45723</v>
      </c>
      <c r="C28" s="27" t="str">
        <f t="shared" si="1"/>
        <v>CA</v>
      </c>
      <c r="D28" s="9" t="s">
        <v>103</v>
      </c>
      <c r="E28" s="11" t="str">
        <f t="shared" si="2"/>
        <v>Dress</v>
      </c>
      <c r="F28" s="9" t="s">
        <v>104</v>
      </c>
      <c r="G28" s="11" t="str">
        <f t="shared" si="3"/>
        <v>Dress Zara</v>
      </c>
      <c r="H28" s="9">
        <v>60</v>
      </c>
      <c r="I28" s="24">
        <f t="shared" si="4"/>
        <v>60</v>
      </c>
      <c r="J28" s="9">
        <v>30</v>
      </c>
      <c r="K28" s="9" t="s">
        <v>32</v>
      </c>
      <c r="L28" s="13" t="str">
        <f t="shared" si="5"/>
        <v>Fashion</v>
      </c>
      <c r="M28" s="9" t="s">
        <v>32</v>
      </c>
    </row>
    <row r="29" spans="1:13" ht="15.75" customHeight="1">
      <c r="A29" s="10" t="s">
        <v>105</v>
      </c>
      <c r="B29" s="22">
        <f t="shared" si="0"/>
        <v>45760</v>
      </c>
      <c r="C29" s="27" t="str">
        <f t="shared" si="1"/>
        <v>CA</v>
      </c>
      <c r="D29" s="10" t="s">
        <v>106</v>
      </c>
      <c r="E29" s="11" t="str">
        <f t="shared" si="2"/>
        <v>Toaster</v>
      </c>
      <c r="F29" s="10" t="s">
        <v>107</v>
      </c>
      <c r="G29" s="11" t="str">
        <f t="shared" si="3"/>
        <v>Toaster Hamilton</v>
      </c>
      <c r="H29" s="10">
        <v>40</v>
      </c>
      <c r="I29" s="24">
        <f t="shared" si="4"/>
        <v>40</v>
      </c>
      <c r="J29" s="10">
        <v>10</v>
      </c>
      <c r="K29" s="10" t="s">
        <v>36</v>
      </c>
      <c r="L29" s="13" t="str">
        <f t="shared" si="5"/>
        <v>Kitchen</v>
      </c>
      <c r="M29" s="9" t="s">
        <v>36</v>
      </c>
    </row>
    <row r="30" spans="1:13" ht="15.75" customHeight="1">
      <c r="A30" s="9" t="s">
        <v>108</v>
      </c>
      <c r="B30" s="22">
        <f t="shared" si="0"/>
        <v>45801</v>
      </c>
      <c r="C30" s="27" t="str">
        <f t="shared" si="1"/>
        <v>CA</v>
      </c>
      <c r="D30" s="9" t="s">
        <v>93</v>
      </c>
      <c r="E30" s="11" t="str">
        <f t="shared" si="2"/>
        <v>Fitness Tracker</v>
      </c>
      <c r="F30" s="9" t="s">
        <v>109</v>
      </c>
      <c r="G30" s="11" t="str">
        <f t="shared" si="3"/>
        <v>Fitness Tracker Garmin</v>
      </c>
      <c r="H30" s="9">
        <v>130</v>
      </c>
      <c r="I30" s="24">
        <f t="shared" si="4"/>
        <v>130</v>
      </c>
      <c r="J30" s="9">
        <v>5</v>
      </c>
      <c r="K30" s="9" t="s">
        <v>28</v>
      </c>
      <c r="L30" s="13" t="str">
        <f t="shared" si="5"/>
        <v>Electronics</v>
      </c>
      <c r="M30" s="9" t="s">
        <v>28</v>
      </c>
    </row>
    <row r="31" spans="1:13" ht="15.75" customHeight="1">
      <c r="A31" s="10" t="s">
        <v>110</v>
      </c>
      <c r="B31" s="22">
        <f t="shared" si="0"/>
        <v>45993</v>
      </c>
      <c r="C31" s="27" t="str">
        <f t="shared" si="1"/>
        <v>CA</v>
      </c>
      <c r="D31" s="10" t="s">
        <v>111</v>
      </c>
      <c r="E31" s="11" t="str">
        <f t="shared" si="2"/>
        <v>Jeans</v>
      </c>
      <c r="F31" s="10" t="s">
        <v>112</v>
      </c>
      <c r="G31" s="11" t="str">
        <f t="shared" si="3"/>
        <v>Jeans Levi's</v>
      </c>
      <c r="H31" s="10">
        <v>50</v>
      </c>
      <c r="I31" s="24">
        <f t="shared" si="4"/>
        <v>50</v>
      </c>
      <c r="J31" s="10">
        <v>50</v>
      </c>
      <c r="K31" s="10" t="s">
        <v>32</v>
      </c>
      <c r="L31" s="13" t="str">
        <f t="shared" si="5"/>
        <v>Fashion</v>
      </c>
      <c r="M31" s="9" t="s">
        <v>32</v>
      </c>
    </row>
    <row r="32" spans="1:13" ht="15.75" customHeight="1">
      <c r="A32" s="10" t="s">
        <v>113</v>
      </c>
      <c r="B32" s="22">
        <f t="shared" si="0"/>
        <v>45847</v>
      </c>
      <c r="C32" s="27" t="str">
        <f t="shared" si="1"/>
        <v>FR</v>
      </c>
      <c r="D32" s="10" t="s">
        <v>114</v>
      </c>
      <c r="E32" s="11" t="str">
        <f t="shared" si="2"/>
        <v>Watch</v>
      </c>
      <c r="F32" s="10" t="s">
        <v>115</v>
      </c>
      <c r="G32" s="11" t="str">
        <f t="shared" si="3"/>
        <v>Watch Casio</v>
      </c>
      <c r="H32" s="10">
        <v>100</v>
      </c>
      <c r="I32" s="24">
        <f t="shared" si="4"/>
        <v>100</v>
      </c>
      <c r="J32" s="10">
        <v>20</v>
      </c>
      <c r="K32" s="10" t="s">
        <v>75</v>
      </c>
      <c r="L32" s="13" t="str">
        <f t="shared" si="5"/>
        <v>Accessories</v>
      </c>
      <c r="M32" s="9" t="s">
        <v>75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M32"/>
  <conditionalFormatting sqref="I2:I32">
    <cfRule type="dataBar" priority="2">
      <dataBar>
        <cfvo type="min" val="0"/>
        <cfvo type="max" val="0"/>
        <color rgb="FFFF555A"/>
      </dataBar>
    </cfRule>
  </conditionalFormatting>
  <conditionalFormatting sqref="M1:M1048576">
    <cfRule type="cellIs" dxfId="0" priority="1" operator="equal">
      <formula>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praveena</cp:lastModifiedBy>
  <dcterms:modified xsi:type="dcterms:W3CDTF">2025-11-10T08:51:28Z</dcterms:modified>
</cp:coreProperties>
</file>